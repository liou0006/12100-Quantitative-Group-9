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dtudk-my.sharepoint.com/personal/s224028_dtu_dk/Documents/Elektrotekniologi - Master/2. semester/12100 Quantitative methods to assess sustainability/12100-Quantitative-Group-9/"/>
    </mc:Choice>
  </mc:AlternateContent>
  <xr:revisionPtr revIDLastSave="0" documentId="8_{7610CE85-B6AB-4459-9CCE-2A61159345C3}" xr6:coauthVersionLast="47" xr6:coauthVersionMax="47" xr10:uidLastSave="{00000000-0000-0000-0000-000000000000}"/>
  <bookViews>
    <workbookView xWindow="1150" yWindow="0" windowWidth="14400" windowHeight="11280" xr2:uid="{00000000-000D-0000-FFFF-FFFF00000000}"/>
  </bookViews>
  <sheets>
    <sheet name="BIL10"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2" l="1"/>
  <c r="E16" i="2"/>
  <c r="F16" i="2"/>
  <c r="G16" i="2"/>
  <c r="H16" i="2"/>
  <c r="I16" i="2"/>
  <c r="J16" i="2"/>
  <c r="K16" i="2"/>
  <c r="L16" i="2"/>
  <c r="M16" i="2"/>
  <c r="N16" i="2"/>
  <c r="O16" i="2"/>
  <c r="P16" i="2"/>
  <c r="Q16" i="2"/>
  <c r="R16" i="2"/>
  <c r="S16" i="2"/>
  <c r="T16" i="2"/>
  <c r="C16" i="2"/>
  <c r="D15" i="2"/>
  <c r="E15" i="2"/>
  <c r="F15" i="2"/>
  <c r="G15" i="2"/>
  <c r="H15" i="2"/>
  <c r="I15" i="2"/>
  <c r="J15" i="2"/>
  <c r="K15" i="2"/>
  <c r="L15" i="2"/>
  <c r="M15" i="2"/>
  <c r="N15" i="2"/>
  <c r="O15" i="2"/>
  <c r="P15" i="2"/>
  <c r="Q15" i="2"/>
  <c r="R15" i="2"/>
  <c r="S15" i="2"/>
  <c r="T15" i="2"/>
  <c r="C15" i="2"/>
</calcChain>
</file>

<file path=xl/sharedStrings.xml><?xml version="1.0" encoding="utf-8"?>
<sst xmlns="http://schemas.openxmlformats.org/spreadsheetml/2006/main" count="60" uniqueCount="36">
  <si>
    <t>Bestanden af personbiler pr. 1. januar efter egenvægt, drivmiddel og tid</t>
  </si>
  <si>
    <t>Enhed: Antal</t>
  </si>
  <si>
    <t>2007</t>
  </si>
  <si>
    <t>2008</t>
  </si>
  <si>
    <t>2009</t>
  </si>
  <si>
    <t>2010</t>
  </si>
  <si>
    <t>2011</t>
  </si>
  <si>
    <t>2012</t>
  </si>
  <si>
    <t>2013</t>
  </si>
  <si>
    <t>2014</t>
  </si>
  <si>
    <t>2015</t>
  </si>
  <si>
    <t>2016</t>
  </si>
  <si>
    <t>2017</t>
  </si>
  <si>
    <t>2018</t>
  </si>
  <si>
    <t>2019</t>
  </si>
  <si>
    <t>2020</t>
  </si>
  <si>
    <t>2021</t>
  </si>
  <si>
    <t>2022</t>
  </si>
  <si>
    <t>2023</t>
  </si>
  <si>
    <t>2024</t>
  </si>
  <si>
    <t>I alt</t>
  </si>
  <si>
    <t>Benzin</t>
  </si>
  <si>
    <t>Diesel</t>
  </si>
  <si>
    <t>F-gas</t>
  </si>
  <si>
    <t>N-gas</t>
  </si>
  <si>
    <t>..</t>
  </si>
  <si>
    <t>El</t>
  </si>
  <si>
    <t>Petroleum</t>
  </si>
  <si>
    <t>Brint</t>
  </si>
  <si>
    <t>Metanol</t>
  </si>
  <si>
    <t>Ætanol</t>
  </si>
  <si>
    <t>Pluginhybrid</t>
  </si>
  <si>
    <t>Øvrige drivmidler</t>
  </si>
  <si>
    <t xml:space="preserve">Fra 2006 registreres der som hovedregel ikke egenvægt for nyregistrerede køretøjer. I stedet anvendes den såkaldte køreklar vægt, som svarer til egenvægten plus vægten af drivmidler (vand, olie og brændstof) samt vægten af føreren. For personbiler sættes vægten af fører og drivmidler som standard til 125 kg. Køretøjerne med køreklar vægt er i 2006-opgørelsen fratrukket 125 kg og indplaceret i de oprindelige egenvægtsgrupper. </t>
  </si>
  <si>
    <t>Antal biler i alt</t>
  </si>
  <si>
    <t>% El-bil fra i 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</si>
</sst>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3"/>
      <color rgb="FF000000"/>
      <name val="Calibri"/>
      <family val="2"/>
    </font>
    <font>
      <i/>
      <sz val="11"/>
      <color rgb="FF000000"/>
      <name val="Calibri"/>
      <family val="2"/>
    </font>
    <font>
      <b/>
      <sz val="11"/>
      <color rgb="FF000000"/>
      <name val="Calibri"/>
      <family val="2"/>
    </font>
  </fonts>
  <fills count="3">
    <fill>
      <patternFill patternType="none"/>
    </fill>
    <fill>
      <patternFill patternType="gray125"/>
    </fill>
    <fill>
      <patternFill patternType="solid">
        <fgColor rgb="FFFFA07A"/>
        <bgColor rgb="FFFFA07A"/>
      </patternFill>
    </fill>
  </fills>
  <borders count="1">
    <border>
      <left/>
      <right/>
      <top/>
      <bottom/>
      <diagonal/>
    </border>
  </borders>
  <cellStyleXfs count="1">
    <xf numFmtId="0" fontId="0" fillId="0" borderId="0" applyNumberFormat="0" applyBorder="0" applyAlignment="0"/>
  </cellStyleXfs>
  <cellXfs count="8">
    <xf numFmtId="0" fontId="0" fillId="0" borderId="0" xfId="0"/>
    <xf numFmtId="0" fontId="1" fillId="0" borderId="0" xfId="0" applyFont="1"/>
    <xf numFmtId="0" fontId="2" fillId="0" borderId="0" xfId="0" applyFont="1"/>
    <xf numFmtId="0" fontId="3" fillId="0" borderId="0" xfId="0" applyFont="1" applyAlignment="1">
      <alignment horizontal="left"/>
    </xf>
    <xf numFmtId="0" fontId="0" fillId="0" borderId="0" xfId="0" applyAlignment="1">
      <alignment horizontal="right"/>
    </xf>
    <xf numFmtId="0" fontId="0" fillId="2" borderId="0" xfId="0" applyFill="1" applyAlignment="1">
      <alignment horizontal="right"/>
    </xf>
    <xf numFmtId="0" fontId="2" fillId="0" borderId="0" xfId="0" applyFont="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8"/>
  <sheetViews>
    <sheetView tabSelected="1" topLeftCell="D1" zoomScale="93" zoomScaleNormal="93" workbookViewId="0">
      <selection activeCell="M16" sqref="M16"/>
    </sheetView>
  </sheetViews>
  <sheetFormatPr defaultRowHeight="14.5" x14ac:dyDescent="0.35"/>
  <cols>
    <col min="1" max="1" width="40.7265625" customWidth="1"/>
    <col min="2" max="2" width="18.54296875" customWidth="1"/>
    <col min="3" max="3" width="17.90625" customWidth="1"/>
    <col min="4" max="20" width="10" customWidth="1"/>
  </cols>
  <sheetData>
    <row r="1" spans="1:20" ht="17" x14ac:dyDescent="0.4">
      <c r="A1" s="1" t="s">
        <v>0</v>
      </c>
    </row>
    <row r="2" spans="1:20" x14ac:dyDescent="0.35">
      <c r="A2" s="2" t="s">
        <v>1</v>
      </c>
    </row>
    <row r="3" spans="1:20" x14ac:dyDescent="0.35">
      <c r="C3" s="3" t="s">
        <v>2</v>
      </c>
      <c r="D3" s="3" t="s">
        <v>3</v>
      </c>
      <c r="E3" s="3" t="s">
        <v>4</v>
      </c>
      <c r="F3" s="3" t="s">
        <v>5</v>
      </c>
      <c r="G3" s="3" t="s">
        <v>6</v>
      </c>
      <c r="H3" s="3" t="s">
        <v>7</v>
      </c>
      <c r="I3" s="3" t="s">
        <v>8</v>
      </c>
      <c r="J3" s="3" t="s">
        <v>9</v>
      </c>
      <c r="K3" s="3" t="s">
        <v>10</v>
      </c>
      <c r="L3" s="3" t="s">
        <v>11</v>
      </c>
      <c r="M3" s="3" t="s">
        <v>12</v>
      </c>
      <c r="N3" s="3" t="s">
        <v>13</v>
      </c>
      <c r="O3" s="3" t="s">
        <v>14</v>
      </c>
      <c r="P3" s="3" t="s">
        <v>15</v>
      </c>
      <c r="Q3" s="3" t="s">
        <v>16</v>
      </c>
      <c r="R3" s="3" t="s">
        <v>17</v>
      </c>
      <c r="S3" s="3" t="s">
        <v>18</v>
      </c>
      <c r="T3" s="3" t="s">
        <v>19</v>
      </c>
    </row>
    <row r="4" spans="1:20" x14ac:dyDescent="0.35">
      <c r="A4" s="3" t="s">
        <v>20</v>
      </c>
      <c r="B4" s="3" t="s">
        <v>21</v>
      </c>
      <c r="C4" s="4">
        <v>1759679</v>
      </c>
      <c r="D4" s="4">
        <v>1745668</v>
      </c>
      <c r="E4" s="4">
        <v>1715006</v>
      </c>
      <c r="F4" s="4">
        <v>1686330</v>
      </c>
      <c r="G4" s="4">
        <v>1661702</v>
      </c>
      <c r="H4" s="4">
        <v>1632047</v>
      </c>
      <c r="I4" s="4">
        <v>1614071</v>
      </c>
      <c r="J4" s="4">
        <v>1623238</v>
      </c>
      <c r="K4" s="4">
        <v>1639695</v>
      </c>
      <c r="L4" s="4">
        <v>1666621</v>
      </c>
      <c r="M4" s="4">
        <v>1701550</v>
      </c>
      <c r="N4" s="4">
        <v>1736427</v>
      </c>
      <c r="O4" s="4">
        <v>1766543</v>
      </c>
      <c r="P4" s="4">
        <v>1803976</v>
      </c>
      <c r="Q4" s="4">
        <v>1834418</v>
      </c>
      <c r="R4" s="4">
        <v>1840349</v>
      </c>
      <c r="S4" s="4">
        <v>1820424</v>
      </c>
      <c r="T4" s="4">
        <v>1796437</v>
      </c>
    </row>
    <row r="5" spans="1:20" x14ac:dyDescent="0.35">
      <c r="B5" s="3" t="s">
        <v>22</v>
      </c>
      <c r="C5" s="4">
        <v>260166</v>
      </c>
      <c r="D5" s="4">
        <v>322667</v>
      </c>
      <c r="E5" s="4">
        <v>383921</v>
      </c>
      <c r="F5" s="4">
        <v>433743</v>
      </c>
      <c r="G5" s="4">
        <v>501653</v>
      </c>
      <c r="H5" s="4">
        <v>565009</v>
      </c>
      <c r="I5" s="4">
        <v>618268</v>
      </c>
      <c r="J5" s="4">
        <v>653290</v>
      </c>
      <c r="K5" s="4">
        <v>686869</v>
      </c>
      <c r="L5" s="4">
        <v>715628</v>
      </c>
      <c r="M5" s="4">
        <v>754054</v>
      </c>
      <c r="N5" s="4">
        <v>782859</v>
      </c>
      <c r="O5" s="4">
        <v>812502</v>
      </c>
      <c r="P5" s="4">
        <v>822181</v>
      </c>
      <c r="Q5" s="4">
        <v>827412</v>
      </c>
      <c r="R5" s="4">
        <v>802420</v>
      </c>
      <c r="S5" s="4">
        <v>762754</v>
      </c>
      <c r="T5" s="4">
        <v>708176</v>
      </c>
    </row>
    <row r="6" spans="1:20" x14ac:dyDescent="0.35">
      <c r="B6" s="3" t="s">
        <v>23</v>
      </c>
      <c r="C6" s="4">
        <v>12</v>
      </c>
      <c r="D6" s="4">
        <v>8</v>
      </c>
      <c r="E6" s="4">
        <v>9</v>
      </c>
      <c r="F6" s="4">
        <v>10</v>
      </c>
      <c r="G6" s="4">
        <v>10</v>
      </c>
      <c r="H6" s="4">
        <v>9</v>
      </c>
      <c r="I6" s="4">
        <v>8</v>
      </c>
      <c r="J6" s="4">
        <v>7</v>
      </c>
      <c r="K6" s="4">
        <v>10</v>
      </c>
      <c r="L6" s="4">
        <v>9</v>
      </c>
      <c r="M6" s="4">
        <v>4</v>
      </c>
      <c r="N6" s="4">
        <v>4</v>
      </c>
      <c r="O6" s="4">
        <v>4</v>
      </c>
      <c r="P6" s="4">
        <v>4</v>
      </c>
      <c r="Q6" s="4">
        <v>4</v>
      </c>
      <c r="R6" s="4">
        <v>5</v>
      </c>
      <c r="S6" s="4">
        <v>5</v>
      </c>
      <c r="T6" s="4">
        <v>8</v>
      </c>
    </row>
    <row r="7" spans="1:20" x14ac:dyDescent="0.35">
      <c r="B7" s="3" t="s">
        <v>24</v>
      </c>
      <c r="C7" s="5" t="s">
        <v>25</v>
      </c>
      <c r="D7" s="4">
        <v>1</v>
      </c>
      <c r="E7" s="4">
        <v>1</v>
      </c>
      <c r="F7" s="4">
        <v>1</v>
      </c>
      <c r="G7" s="4">
        <v>1</v>
      </c>
      <c r="H7" s="4">
        <v>3</v>
      </c>
      <c r="I7" s="4">
        <v>4</v>
      </c>
      <c r="J7" s="4">
        <v>19</v>
      </c>
      <c r="K7" s="4">
        <v>58</v>
      </c>
      <c r="L7" s="4">
        <v>58</v>
      </c>
      <c r="M7" s="4">
        <v>93</v>
      </c>
      <c r="N7" s="4">
        <v>127</v>
      </c>
      <c r="O7" s="4">
        <v>130</v>
      </c>
      <c r="P7" s="4">
        <v>140</v>
      </c>
      <c r="Q7" s="4">
        <v>135</v>
      </c>
      <c r="R7" s="4">
        <v>137</v>
      </c>
      <c r="S7" s="4">
        <v>125</v>
      </c>
      <c r="T7" s="4">
        <v>91</v>
      </c>
    </row>
    <row r="8" spans="1:20" x14ac:dyDescent="0.35">
      <c r="B8" s="3" t="s">
        <v>26</v>
      </c>
      <c r="C8" s="4">
        <v>150</v>
      </c>
      <c r="D8" s="4">
        <v>142</v>
      </c>
      <c r="E8" s="4">
        <v>140</v>
      </c>
      <c r="F8" s="4">
        <v>219</v>
      </c>
      <c r="G8" s="4">
        <v>296</v>
      </c>
      <c r="H8" s="4">
        <v>749</v>
      </c>
      <c r="I8" s="4">
        <v>1243</v>
      </c>
      <c r="J8" s="4">
        <v>1536</v>
      </c>
      <c r="K8" s="4">
        <v>2919</v>
      </c>
      <c r="L8" s="4">
        <v>7888</v>
      </c>
      <c r="M8" s="4">
        <v>8662</v>
      </c>
      <c r="N8" s="4">
        <v>8765</v>
      </c>
      <c r="O8" s="4">
        <v>10037</v>
      </c>
      <c r="P8" s="4">
        <v>15507</v>
      </c>
      <c r="Q8" s="4">
        <v>31886</v>
      </c>
      <c r="R8" s="4">
        <v>66610</v>
      </c>
      <c r="S8" s="4">
        <v>112674</v>
      </c>
      <c r="T8" s="4">
        <v>200108</v>
      </c>
    </row>
    <row r="9" spans="1:20" x14ac:dyDescent="0.35">
      <c r="B9" s="3" t="s">
        <v>27</v>
      </c>
      <c r="C9" s="4">
        <v>6</v>
      </c>
      <c r="D9" s="4">
        <v>7</v>
      </c>
      <c r="E9" s="4">
        <v>13</v>
      </c>
      <c r="F9" s="4">
        <v>19</v>
      </c>
      <c r="G9" s="4">
        <v>14</v>
      </c>
      <c r="H9" s="4">
        <v>14</v>
      </c>
      <c r="I9" s="4">
        <v>15</v>
      </c>
      <c r="J9" s="4">
        <v>12</v>
      </c>
      <c r="K9" s="4">
        <v>8</v>
      </c>
      <c r="L9" s="4">
        <v>8</v>
      </c>
      <c r="M9" s="4">
        <v>5</v>
      </c>
      <c r="N9" s="4">
        <v>4</v>
      </c>
      <c r="O9" s="4">
        <v>2</v>
      </c>
      <c r="P9" s="4">
        <v>2</v>
      </c>
      <c r="Q9" s="4">
        <v>3</v>
      </c>
      <c r="R9" s="4">
        <v>1</v>
      </c>
      <c r="S9" s="4">
        <v>1</v>
      </c>
      <c r="T9" s="4">
        <v>1</v>
      </c>
    </row>
    <row r="10" spans="1:20" x14ac:dyDescent="0.35">
      <c r="B10" s="3" t="s">
        <v>28</v>
      </c>
      <c r="C10" s="5" t="s">
        <v>25</v>
      </c>
      <c r="D10" s="5" t="s">
        <v>25</v>
      </c>
      <c r="E10" s="5" t="s">
        <v>25</v>
      </c>
      <c r="F10" s="5" t="s">
        <v>25</v>
      </c>
      <c r="G10" s="5" t="s">
        <v>25</v>
      </c>
      <c r="H10" s="5" t="s">
        <v>25</v>
      </c>
      <c r="I10" s="5" t="s">
        <v>25</v>
      </c>
      <c r="J10" s="5" t="s">
        <v>25</v>
      </c>
      <c r="K10" s="5" t="s">
        <v>25</v>
      </c>
      <c r="L10" s="4">
        <v>55</v>
      </c>
      <c r="M10" s="4">
        <v>69</v>
      </c>
      <c r="N10" s="4">
        <v>84</v>
      </c>
      <c r="O10" s="4">
        <v>83</v>
      </c>
      <c r="P10" s="4">
        <v>77</v>
      </c>
      <c r="Q10" s="4">
        <v>113</v>
      </c>
      <c r="R10" s="4">
        <v>173</v>
      </c>
      <c r="S10" s="4">
        <v>147</v>
      </c>
      <c r="T10" s="4">
        <v>43</v>
      </c>
    </row>
    <row r="11" spans="1:20" x14ac:dyDescent="0.35">
      <c r="B11" s="3" t="s">
        <v>29</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row>
    <row r="12" spans="1:20" x14ac:dyDescent="0.35">
      <c r="B12" s="3" t="s">
        <v>30</v>
      </c>
      <c r="C12" s="4">
        <v>0</v>
      </c>
      <c r="D12" s="4">
        <v>0</v>
      </c>
      <c r="E12" s="4">
        <v>0</v>
      </c>
      <c r="F12" s="4">
        <v>0</v>
      </c>
      <c r="G12" s="4">
        <v>0</v>
      </c>
      <c r="H12" s="4">
        <v>0</v>
      </c>
      <c r="I12" s="4">
        <v>0</v>
      </c>
      <c r="J12" s="4">
        <v>0</v>
      </c>
      <c r="K12" s="4">
        <v>0</v>
      </c>
      <c r="L12" s="4">
        <v>0</v>
      </c>
      <c r="M12" s="4">
        <v>0</v>
      </c>
      <c r="N12" s="4">
        <v>0</v>
      </c>
      <c r="O12" s="4">
        <v>0</v>
      </c>
      <c r="P12" s="4">
        <v>0</v>
      </c>
      <c r="Q12" s="4">
        <v>0</v>
      </c>
      <c r="R12" s="4">
        <v>0</v>
      </c>
      <c r="S12" s="4">
        <v>0</v>
      </c>
      <c r="T12" s="4">
        <v>0</v>
      </c>
    </row>
    <row r="13" spans="1:20" x14ac:dyDescent="0.35">
      <c r="B13" s="3" t="s">
        <v>31</v>
      </c>
      <c r="C13" s="5" t="s">
        <v>25</v>
      </c>
      <c r="D13" s="5" t="s">
        <v>25</v>
      </c>
      <c r="E13" s="5" t="s">
        <v>25</v>
      </c>
      <c r="F13" s="5" t="s">
        <v>25</v>
      </c>
      <c r="G13" s="5" t="s">
        <v>25</v>
      </c>
      <c r="H13" s="5" t="s">
        <v>25</v>
      </c>
      <c r="I13" s="5" t="s">
        <v>25</v>
      </c>
      <c r="J13" s="5" t="s">
        <v>25</v>
      </c>
      <c r="K13" s="5" t="s">
        <v>25</v>
      </c>
      <c r="L13" s="4">
        <v>556</v>
      </c>
      <c r="M13" s="4">
        <v>1101</v>
      </c>
      <c r="N13" s="4">
        <v>1776</v>
      </c>
      <c r="O13" s="4">
        <v>5168</v>
      </c>
      <c r="P13" s="4">
        <v>9838</v>
      </c>
      <c r="Q13" s="4">
        <v>29695</v>
      </c>
      <c r="R13" s="4">
        <v>77858</v>
      </c>
      <c r="S13" s="4">
        <v>104946</v>
      </c>
      <c r="T13" s="4">
        <v>123000</v>
      </c>
    </row>
    <row r="14" spans="1:20" x14ac:dyDescent="0.35">
      <c r="B14" s="3" t="s">
        <v>32</v>
      </c>
      <c r="C14" s="5" t="s">
        <v>25</v>
      </c>
      <c r="D14" s="5" t="s">
        <v>25</v>
      </c>
      <c r="E14" s="5" t="s">
        <v>25</v>
      </c>
      <c r="F14" s="5" t="s">
        <v>25</v>
      </c>
      <c r="G14" s="5" t="s">
        <v>25</v>
      </c>
      <c r="H14" s="5" t="s">
        <v>25</v>
      </c>
      <c r="I14" s="4">
        <v>1</v>
      </c>
      <c r="J14" s="4">
        <v>19</v>
      </c>
      <c r="K14" s="4">
        <v>19</v>
      </c>
      <c r="L14" s="4">
        <v>0</v>
      </c>
      <c r="M14" s="4">
        <v>0</v>
      </c>
      <c r="N14" s="4">
        <v>1</v>
      </c>
      <c r="O14" s="4">
        <v>0</v>
      </c>
      <c r="P14" s="4">
        <v>1</v>
      </c>
      <c r="Q14" s="4">
        <v>1</v>
      </c>
      <c r="R14" s="4">
        <v>0</v>
      </c>
      <c r="S14" s="4">
        <v>0</v>
      </c>
      <c r="T14" s="4">
        <v>0</v>
      </c>
    </row>
    <row r="15" spans="1:20" x14ac:dyDescent="0.35">
      <c r="B15" s="7" t="s">
        <v>34</v>
      </c>
      <c r="C15">
        <f>SUM(C4:C14)</f>
        <v>2020013</v>
      </c>
      <c r="D15">
        <f t="shared" ref="D15:T15" si="0">SUM(D4:D14)</f>
        <v>2068493</v>
      </c>
      <c r="E15">
        <f t="shared" si="0"/>
        <v>2099090</v>
      </c>
      <c r="F15">
        <f t="shared" si="0"/>
        <v>2120322</v>
      </c>
      <c r="G15">
        <f t="shared" si="0"/>
        <v>2163676</v>
      </c>
      <c r="H15">
        <f t="shared" si="0"/>
        <v>2197831</v>
      </c>
      <c r="I15">
        <f t="shared" si="0"/>
        <v>2233610</v>
      </c>
      <c r="J15">
        <f t="shared" si="0"/>
        <v>2278121</v>
      </c>
      <c r="K15">
        <f t="shared" si="0"/>
        <v>2329578</v>
      </c>
      <c r="L15">
        <f t="shared" si="0"/>
        <v>2390823</v>
      </c>
      <c r="M15">
        <f t="shared" si="0"/>
        <v>2465538</v>
      </c>
      <c r="N15">
        <f t="shared" si="0"/>
        <v>2530047</v>
      </c>
      <c r="O15">
        <f t="shared" si="0"/>
        <v>2594469</v>
      </c>
      <c r="P15">
        <f t="shared" si="0"/>
        <v>2651726</v>
      </c>
      <c r="Q15">
        <f t="shared" si="0"/>
        <v>2723667</v>
      </c>
      <c r="R15">
        <f t="shared" si="0"/>
        <v>2787553</v>
      </c>
      <c r="S15">
        <f t="shared" si="0"/>
        <v>2801076</v>
      </c>
      <c r="T15">
        <f t="shared" si="0"/>
        <v>2827864</v>
      </c>
    </row>
    <row r="16" spans="1:20" x14ac:dyDescent="0.35">
      <c r="B16" s="3" t="s">
        <v>35</v>
      </c>
      <c r="C16">
        <f>C8/C15</f>
        <v>7.4256947851325709E-5</v>
      </c>
      <c r="D16">
        <f t="shared" ref="D16:T16" si="1">D8/D15</f>
        <v>6.8649011623437929E-5</v>
      </c>
      <c r="E16">
        <f t="shared" si="1"/>
        <v>6.6695568079501121E-5</v>
      </c>
      <c r="F16">
        <f t="shared" si="1"/>
        <v>1.0328619898298466E-4</v>
      </c>
      <c r="G16">
        <f t="shared" si="1"/>
        <v>1.3680421652779805E-4</v>
      </c>
      <c r="H16">
        <f t="shared" si="1"/>
        <v>3.407905339400527E-4</v>
      </c>
      <c r="I16">
        <f t="shared" si="1"/>
        <v>5.5649822484677271E-4</v>
      </c>
      <c r="J16">
        <f t="shared" si="1"/>
        <v>6.7423986697809292E-4</v>
      </c>
      <c r="K16">
        <f t="shared" si="1"/>
        <v>1.2530166407821502E-3</v>
      </c>
      <c r="L16">
        <f t="shared" si="1"/>
        <v>3.2992822973511634E-3</v>
      </c>
      <c r="M16">
        <f t="shared" si="1"/>
        <v>3.5132291613432847E-3</v>
      </c>
      <c r="N16">
        <f t="shared" si="1"/>
        <v>3.4643625197476567E-3</v>
      </c>
      <c r="O16">
        <f t="shared" si="1"/>
        <v>3.8686143484466377E-3</v>
      </c>
      <c r="P16">
        <f t="shared" si="1"/>
        <v>5.8478892615602069E-3</v>
      </c>
      <c r="Q16">
        <f t="shared" si="1"/>
        <v>1.1707011172804899E-2</v>
      </c>
      <c r="R16">
        <f t="shared" si="1"/>
        <v>2.3895509789410282E-2</v>
      </c>
      <c r="S16">
        <f t="shared" si="1"/>
        <v>4.0225256294366879E-2</v>
      </c>
      <c r="T16">
        <f t="shared" si="1"/>
        <v>7.0762950410627953E-2</v>
      </c>
    </row>
    <row r="18" spans="1:1" ht="145" x14ac:dyDescent="0.35">
      <c r="A18" s="6" t="s">
        <v>33</v>
      </c>
    </row>
  </sheetData>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BIL10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Liou Xia</cp:lastModifiedBy>
  <dcterms:created xsi:type="dcterms:W3CDTF">2025-07-02T14:54:49Z</dcterms:created>
  <dcterms:modified xsi:type="dcterms:W3CDTF">2026-03-01T14:08:48Z</dcterms:modified>
</cp:coreProperties>
</file>